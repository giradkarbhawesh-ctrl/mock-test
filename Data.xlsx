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2B16311-9574-43A2-B66B-21181EDA8B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_Data" sheetId="1" r:id="rId1"/>
    <sheet name="Product_Master" sheetId="2" r:id="rId2"/>
    <sheet name="Monthly Target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F3" i="1"/>
  <c r="F4" i="1"/>
  <c r="F5" i="1"/>
  <c r="F6" i="1"/>
  <c r="F7" i="1"/>
  <c r="F8" i="1"/>
  <c r="F9" i="1"/>
  <c r="F10" i="1"/>
  <c r="F11" i="1"/>
  <c r="F2" i="1"/>
  <c r="H12" i="1" l="1"/>
</calcChain>
</file>

<file path=xl/sharedStrings.xml><?xml version="1.0" encoding="utf-8"?>
<sst xmlns="http://schemas.openxmlformats.org/spreadsheetml/2006/main" count="82" uniqueCount="54">
  <si>
    <t>Employee ID</t>
  </si>
  <si>
    <t>Employee Name</t>
  </si>
  <si>
    <t>Region</t>
  </si>
  <si>
    <t>Product ID</t>
  </si>
  <si>
    <t>Units Sold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</si>
  <si>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</si>
  <si>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</si>
  <si>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</si>
  <si>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</si>
  <si>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</si>
  <si>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</si>
  <si>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</si>
  <si>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</si>
  <si>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</si>
  <si>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</si>
  <si>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</si>
  <si>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</si>
  <si>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</si>
  <si>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</si>
  <si>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</si>
  <si>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</si>
  <si>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</si>
  <si>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</si>
  <si>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</si>
  <si>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</si>
  <si>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</si>
  <si>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</si>
  <si>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</si>
  <si>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</si>
  <si>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</si>
  <si>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</si>
  <si>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</si>
  <si>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</si>
  <si>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</si>
  <si>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</si>
  <si>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</si>
  <si>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</si>
  <si>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</si>
  <si>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</si>
  <si>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</si>
  <si>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</si>
  <si>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</si>
  <si>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</si>
  <si>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</si>
  <si>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</si>
  <si>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</si>
  <si>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Product price</t>
  </si>
  <si>
    <t>Total sales</t>
  </si>
  <si>
    <t>SUM</t>
  </si>
  <si>
    <t>Target sales</t>
  </si>
  <si>
    <t>Actual sales</t>
  </si>
  <si>
    <t>Product name</t>
  </si>
  <si>
    <t>west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</si>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</sst>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Mast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_Data"/>
      <sheetName val="Product_Master"/>
      <sheetName val="Monthly Target"/>
      <sheetName val="ProductMaster"/>
    </sheetNames>
    <sheetDataSet>
      <sheetData sheetId="0" refreshError="1"/>
      <sheetData sheetId="1" refreshError="1">
        <row r="1">
          <cell r="A1" t="str">
            <v>Product ID</v>
          </cell>
          <cell r="B1" t="str">
            <v>Product Name</v>
          </cell>
          <cell r="C1" t="str">
            <v>Category</v>
          </cell>
          <cell r="D1" t="str">
            <v>Price per Unit</v>
          </cell>
        </row>
        <row r="2">
          <cell r="A2" t="str">
            <v>P001</v>
          </cell>
          <cell r="B2" t="str">
            <v>Laptop</v>
          </cell>
          <cell r="C2" t="str">
            <v>Electronics</v>
          </cell>
          <cell r="D2">
            <v>3000</v>
          </cell>
        </row>
        <row r="3">
          <cell r="A3" t="str">
            <v>P002</v>
          </cell>
          <cell r="B3" t="str">
            <v>Smartphone</v>
          </cell>
          <cell r="C3" t="str">
            <v>Electronics</v>
          </cell>
          <cell r="D3">
            <v>3000</v>
          </cell>
        </row>
        <row r="4">
          <cell r="A4" t="str">
            <v>P003</v>
          </cell>
          <cell r="B4" t="str">
            <v>Headphones</v>
          </cell>
          <cell r="C4" t="str">
            <v>Accessories</v>
          </cell>
          <cell r="D4">
            <v>3500</v>
          </cell>
        </row>
        <row r="5">
          <cell r="A5" t="str">
            <v>P004</v>
          </cell>
          <cell r="B5" t="str">
            <v>Printer</v>
          </cell>
          <cell r="C5" t="str">
            <v>Office Supplies</v>
          </cell>
          <cell r="D5">
            <v>5000</v>
          </cell>
        </row>
        <row r="6">
          <cell r="A6" t="str">
            <v>P005</v>
          </cell>
          <cell r="B6" t="str">
            <v>Monitor</v>
          </cell>
          <cell r="C6" t="str">
            <v>Electronics</v>
          </cell>
          <cell r="D6">
            <v>4000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workbookViewId="0">
      <selection activeCell="A10" sqref="A10:XFD10"/>
    </sheetView>
  </sheetViews>
  <sheetFormatPr defaultColWidth="12.6640625" defaultRowHeight="15.75" customHeight="1" x14ac:dyDescent="0.25"/>
  <cols>
    <col min="1" max="1" width="11.77734375" bestFit="1" customWidth="1"/>
    <col min="2" max="2" width="15" bestFit="1" customWidth="1"/>
    <col min="5" max="5" width="10" bestFit="1" customWidth="1"/>
    <col min="6" max="6" width="12.5546875" bestFit="1" customWidth="1"/>
    <col min="8" max="8" width="10.33203125" bestFit="1" customWidth="1"/>
  </cols>
  <sheetData>
    <row r="1" spans="1:8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51</v>
      </c>
      <c r="G1" s="3" t="s">
        <v>46</v>
      </c>
      <c r="H1" s="3" t="s">
        <v>47</v>
      </c>
    </row>
    <row r="2" spans="1:8" ht="13.2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15</v>
      </c>
      <c r="F2" s="8" t="str">
        <f>VLOOKUP(D2, [1]Product_Master!$A:$D, 2, FALSE)</f>
        <v>Laptop</v>
      </c>
      <c r="G2" s="8">
        <f>VLOOKUP(D2, [1]Product_Master!$A:$D, 4, FALSE)</f>
        <v>3000</v>
      </c>
      <c r="H2" s="9">
        <f>E2*G2</f>
        <v>45000</v>
      </c>
    </row>
    <row r="3" spans="1:8" ht="13.2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20</v>
      </c>
      <c r="F3" s="8" t="str">
        <f>VLOOKUP(D3, [1]Product_Master!$A:$D, 2, FALSE)</f>
        <v>Smartphone</v>
      </c>
      <c r="G3" s="8">
        <f>VLOOKUP(D3, [1]Product_Master!$A:$D, 4, FALSE)</f>
        <v>3000</v>
      </c>
      <c r="H3" s="9">
        <f>E3*G3</f>
        <v>60000</v>
      </c>
    </row>
    <row r="4" spans="1:8" ht="13.2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10</v>
      </c>
      <c r="F4" s="8" t="str">
        <f>VLOOKUP(D4, [1]Product_Master!$A:$D, 2, FALSE)</f>
        <v>Headphones</v>
      </c>
      <c r="G4" s="8">
        <f>VLOOKUP(D4, [1]Product_Master!$A:$D, 4, FALSE)</f>
        <v>3500</v>
      </c>
      <c r="H4" s="9">
        <f>E4*G4</f>
        <v>35000</v>
      </c>
    </row>
    <row r="5" spans="1:8" ht="13.2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25</v>
      </c>
      <c r="F5" s="8" t="str">
        <f>VLOOKUP(D5, [1]Product_Master!$A:$D, 2, FALSE)</f>
        <v>Printer</v>
      </c>
      <c r="G5" s="8">
        <f>VLOOKUP(D5, [1]Product_Master!$A:$D, 4, FALSE)</f>
        <v>5000</v>
      </c>
      <c r="H5" s="9">
        <f>E5*G5</f>
        <v>125000</v>
      </c>
    </row>
    <row r="6" spans="1:8" ht="13.2" x14ac:dyDescent="0.25">
      <c r="A6" s="2" t="s">
        <v>21</v>
      </c>
      <c r="B6" s="2" t="s">
        <v>22</v>
      </c>
      <c r="C6" s="2" t="s">
        <v>7</v>
      </c>
      <c r="D6" s="2" t="s">
        <v>23</v>
      </c>
      <c r="E6" s="2">
        <v>12</v>
      </c>
      <c r="F6" s="8" t="str">
        <f>VLOOKUP(D6, [1]Product_Master!$A:$D, 2, FALSE)</f>
        <v>Monitor</v>
      </c>
      <c r="G6" s="8">
        <f>VLOOKUP(D6, [1]Product_Master!$A:$D, 4, FALSE)</f>
        <v>4000</v>
      </c>
      <c r="H6" s="9">
        <f>E6*G6</f>
        <v>48000</v>
      </c>
    </row>
    <row r="7" spans="1:8" ht="13.2" x14ac:dyDescent="0.25">
      <c r="A7" s="2" t="s">
        <v>24</v>
      </c>
      <c r="B7" s="2" t="s">
        <v>25</v>
      </c>
      <c r="C7" s="2" t="s">
        <v>15</v>
      </c>
      <c r="D7" s="2" t="s">
        <v>12</v>
      </c>
      <c r="E7" s="2">
        <v>18</v>
      </c>
      <c r="F7" s="8" t="str">
        <f>VLOOKUP(D7, [1]Product_Master!$A:$D, 2, FALSE)</f>
        <v>Smartphone</v>
      </c>
      <c r="G7" s="8">
        <f>VLOOKUP(D7, [1]Product_Master!$A:$D, 4, FALSE)</f>
        <v>3000</v>
      </c>
      <c r="H7" s="9">
        <f>E7*G7</f>
        <v>54000</v>
      </c>
    </row>
    <row r="8" spans="1:8" ht="13.2" x14ac:dyDescent="0.25">
      <c r="A8" s="2" t="s">
        <v>26</v>
      </c>
      <c r="B8" s="2" t="s">
        <v>27</v>
      </c>
      <c r="C8" s="2" t="s">
        <v>11</v>
      </c>
      <c r="D8" s="2" t="s">
        <v>16</v>
      </c>
      <c r="E8" s="2">
        <v>22</v>
      </c>
      <c r="F8" s="8" t="str">
        <f>VLOOKUP(D8, [1]Product_Master!$A:$D, 2, FALSE)</f>
        <v>Headphones</v>
      </c>
      <c r="G8" s="8">
        <f>VLOOKUP(D8, [1]Product_Master!$A:$D, 4, FALSE)</f>
        <v>3500</v>
      </c>
      <c r="H8" s="9">
        <f>E8*G8</f>
        <v>77000</v>
      </c>
    </row>
    <row r="9" spans="1:8" ht="13.2" x14ac:dyDescent="0.25">
      <c r="A9" s="2" t="s">
        <v>28</v>
      </c>
      <c r="B9" s="2" t="s">
        <v>29</v>
      </c>
      <c r="C9" s="2" t="s">
        <v>19</v>
      </c>
      <c r="D9" s="2" t="s">
        <v>8</v>
      </c>
      <c r="E9" s="2">
        <v>30</v>
      </c>
      <c r="F9" s="8" t="str">
        <f>VLOOKUP(D9, [1]Product_Master!$A:$D, 2, FALSE)</f>
        <v>Laptop</v>
      </c>
      <c r="G9" s="8">
        <f>VLOOKUP(D9, [1]Product_Master!$A:$D, 4, FALSE)</f>
        <v>3000</v>
      </c>
      <c r="H9" s="9">
        <f>E9*G9</f>
        <v>90000</v>
      </c>
    </row>
    <row r="10" spans="1:8" ht="13.2" x14ac:dyDescent="0.25">
      <c r="A10" s="2" t="s">
        <v>30</v>
      </c>
      <c r="B10" s="2" t="s">
        <v>31</v>
      </c>
      <c r="C10" s="2" t="s">
        <v>7</v>
      </c>
      <c r="D10" s="2" t="s">
        <v>20</v>
      </c>
      <c r="E10" s="2">
        <v>14</v>
      </c>
      <c r="F10" s="8" t="str">
        <f>VLOOKUP(D10, [1]Product_Master!$A:$D, 2, FALSE)</f>
        <v>Printer</v>
      </c>
      <c r="G10" s="8">
        <f>VLOOKUP(D10, [1]Product_Master!$A:$D, 4, FALSE)</f>
        <v>5000</v>
      </c>
      <c r="H10" s="9">
        <f>E10*G10</f>
        <v>70000</v>
      </c>
    </row>
    <row r="11" spans="1:8" ht="13.2" x14ac:dyDescent="0.25">
      <c r="A11" s="2" t="s">
        <v>32</v>
      </c>
      <c r="B11" s="2" t="s">
        <v>33</v>
      </c>
      <c r="C11" s="2" t="s">
        <v>15</v>
      </c>
      <c r="D11" s="2" t="s">
        <v>23</v>
      </c>
      <c r="E11" s="2">
        <v>8</v>
      </c>
      <c r="F11" s="8" t="str">
        <f>VLOOKUP(D11, [1]Product_Master!$A:$D, 2, FALSE)</f>
        <v>Monitor</v>
      </c>
      <c r="G11" s="8">
        <f>VLOOKUP(D11, [1]Product_Master!$A:$D, 4, FALSE)</f>
        <v>4000</v>
      </c>
      <c r="H11" s="9">
        <f>E11*G11</f>
        <v>32000</v>
      </c>
    </row>
    <row r="12" spans="1:8" ht="15.75" customHeight="1" x14ac:dyDescent="0.25">
      <c r="A12" s="2" t="s">
        <v>48</v>
      </c>
      <c r="H12" s="4">
        <f>SUM(H2:H11)</f>
        <v>636000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3</v>
      </c>
      <c r="B1" s="1" t="s">
        <v>34</v>
      </c>
      <c r="C1" s="1" t="s">
        <v>35</v>
      </c>
      <c r="D1" s="1" t="s">
        <v>36</v>
      </c>
    </row>
    <row r="2" spans="1:4" x14ac:dyDescent="0.25">
      <c r="A2" s="2" t="s">
        <v>8</v>
      </c>
      <c r="B2" s="2" t="s">
        <v>37</v>
      </c>
      <c r="C2" s="2" t="s">
        <v>38</v>
      </c>
      <c r="D2" s="2">
        <v>3000</v>
      </c>
    </row>
    <row r="3" spans="1:4" x14ac:dyDescent="0.25">
      <c r="A3" s="2" t="s">
        <v>12</v>
      </c>
      <c r="B3" s="2" t="s">
        <v>39</v>
      </c>
      <c r="C3" s="2" t="s">
        <v>38</v>
      </c>
      <c r="D3" s="2">
        <v>3000</v>
      </c>
    </row>
    <row r="4" spans="1:4" x14ac:dyDescent="0.25">
      <c r="A4" s="2" t="s">
        <v>16</v>
      </c>
      <c r="B4" s="2" t="s">
        <v>40</v>
      </c>
      <c r="C4" s="2" t="s">
        <v>41</v>
      </c>
      <c r="D4" s="2">
        <v>3500</v>
      </c>
    </row>
    <row r="5" spans="1:4" x14ac:dyDescent="0.25">
      <c r="A5" s="2" t="s">
        <v>20</v>
      </c>
      <c r="B5" s="2" t="s">
        <v>42</v>
      </c>
      <c r="C5" s="2" t="s">
        <v>43</v>
      </c>
      <c r="D5" s="2">
        <v>5000</v>
      </c>
    </row>
    <row r="6" spans="1:4" x14ac:dyDescent="0.25">
      <c r="A6" s="2" t="s">
        <v>23</v>
      </c>
      <c r="B6" s="2" t="s">
        <v>44</v>
      </c>
      <c r="C6" s="2" t="s">
        <v>38</v>
      </c>
      <c r="D6" s="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1" max="1" width="19.21875" bestFit="1" customWidth="1"/>
  </cols>
  <sheetData>
    <row r="1" spans="1:5" ht="13.2" x14ac:dyDescent="0.25">
      <c r="A1" s="1" t="s">
        <v>2</v>
      </c>
      <c r="B1" s="1" t="s">
        <v>7</v>
      </c>
      <c r="C1" s="1" t="s">
        <v>11</v>
      </c>
      <c r="D1" s="1" t="s">
        <v>15</v>
      </c>
      <c r="E1" s="1" t="s">
        <v>19</v>
      </c>
    </row>
    <row r="2" spans="1:5" ht="13.2" x14ac:dyDescent="0.25">
      <c r="A2" s="5" t="s">
        <v>45</v>
      </c>
      <c r="B2" s="2">
        <v>150000</v>
      </c>
      <c r="C2" s="2">
        <v>140000</v>
      </c>
      <c r="D2" s="2">
        <v>120000</v>
      </c>
      <c r="E2" s="2">
        <v>160000</v>
      </c>
    </row>
    <row r="5" spans="1:5" ht="15.75" customHeight="1" x14ac:dyDescent="0.25">
      <c r="A5" s="6" t="s">
        <v>2</v>
      </c>
      <c r="B5" s="6" t="s">
        <v>49</v>
      </c>
      <c r="C5" s="6" t="s">
        <v>50</v>
      </c>
      <c r="D5" s="6" t="s">
        <v>53</v>
      </c>
    </row>
    <row r="6" spans="1:5" ht="15.75" customHeight="1" x14ac:dyDescent="0.25">
      <c r="A6" s="7" t="s">
        <v>7</v>
      </c>
      <c r="B6" s="2">
        <v>150000</v>
      </c>
      <c r="C6">
        <v>163000</v>
      </c>
      <c r="D6">
        <f>C6-B6</f>
        <v>13000</v>
      </c>
    </row>
    <row r="7" spans="1:5" ht="15.75" customHeight="1" x14ac:dyDescent="0.25">
      <c r="A7" s="7" t="s">
        <v>11</v>
      </c>
      <c r="B7" s="2">
        <v>140000</v>
      </c>
      <c r="C7">
        <v>137000</v>
      </c>
      <c r="D7">
        <f>C7-B7</f>
        <v>-3000</v>
      </c>
    </row>
    <row r="8" spans="1:5" ht="15.75" customHeight="1" x14ac:dyDescent="0.25">
      <c r="A8" s="7" t="s">
        <v>15</v>
      </c>
      <c r="B8" s="2">
        <v>120000</v>
      </c>
      <c r="C8">
        <v>121000</v>
      </c>
      <c r="D8">
        <f>C8-B8</f>
        <v>1000</v>
      </c>
    </row>
    <row r="9" spans="1:5" ht="15.75" customHeight="1" x14ac:dyDescent="0.25">
      <c r="A9" s="7" t="s">
        <v>52</v>
      </c>
      <c r="B9" s="2">
        <v>160000</v>
      </c>
      <c r="C9">
        <v>21500</v>
      </c>
      <c r="D9">
        <f>C9-B9</f>
        <v>-138500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2025-11-01T08:04:28Z</dcterms:modified>
</cp:coreProperties>
</file>